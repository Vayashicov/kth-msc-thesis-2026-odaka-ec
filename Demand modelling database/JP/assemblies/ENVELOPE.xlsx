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Comments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bam\Documents\KTH\Master thesis\CEAshapefiles\Database\JP\assemblies\"/>
    </mc:Choice>
  </mc:AlternateContent>
  <xr:revisionPtr revIDLastSave="0" documentId="13_ncr:1_{C163C038-D75B-4EAE-AF1F-0BB5ED5D6BB2}" xr6:coauthVersionLast="47" xr6:coauthVersionMax="47" xr10:uidLastSave="{00000000-0000-0000-0000-000000000000}"/>
  <bookViews>
    <workbookView xWindow="6045" yWindow="690" windowWidth="19410" windowHeight="13770" firstSheet="2" activeTab="2" xr2:uid="{00000000-000D-0000-FFFF-FFFF00000000}"/>
  </bookViews>
  <sheets>
    <sheet name="CONSTRUCTION" sheetId="1" r:id="rId1"/>
    <sheet name="TIGHTNESS" sheetId="2" r:id="rId2"/>
    <sheet name="ROOF" sheetId="3" r:id="rId3"/>
    <sheet name="WALL" sheetId="4" r:id="rId4"/>
    <sheet name="FLOOR" sheetId="5" r:id="rId5"/>
    <sheet name="WINDOW" sheetId="6" r:id="rId6"/>
    <sheet name="SHAD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3" l="1"/>
  <c r="F24" i="3"/>
  <c r="F23" i="3"/>
  <c r="F2" i="4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9" i="4"/>
  <c r="F8" i="4"/>
  <c r="F7" i="4"/>
  <c r="F6" i="4"/>
  <c r="F5" i="4"/>
  <c r="F4" i="4"/>
  <c r="F3" i="4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<sst xmlns="http://schemas.openxmlformats.org/spreadsheetml/2006/main" count="286" uniqueCount="202">
  <si>
    <t>Description</t>
  </si>
  <si>
    <t>code</t>
  </si>
  <si>
    <t>Cm_Af</t>
  </si>
  <si>
    <t>Light construction</t>
  </si>
  <si>
    <t>CONSTRUCTION_AS1</t>
  </si>
  <si>
    <t>Medium construction</t>
  </si>
  <si>
    <t>CONSTRUCTION_AS2</t>
  </si>
  <si>
    <t>Heavy construction</t>
  </si>
  <si>
    <t>CONSTRUCTION_AS3</t>
  </si>
  <si>
    <t>TABULA standard value</t>
  </si>
  <si>
    <t>CONSTRUCTION_TAB</t>
  </si>
  <si>
    <t>n50</t>
  </si>
  <si>
    <t>Highly tight</t>
  </si>
  <si>
    <t>TIGHTNESS_AS1</t>
  </si>
  <si>
    <t>Tight</t>
  </si>
  <si>
    <t>TIGHTNESS_AS2</t>
  </si>
  <si>
    <t>Medium</t>
  </si>
  <si>
    <t>TIGHTNESS_AS3</t>
  </si>
  <si>
    <t>Medium Leaky</t>
  </si>
  <si>
    <t>TIGHTNESS_AS4</t>
  </si>
  <si>
    <t>Leaky</t>
  </si>
  <si>
    <t>TIGHTNESS_AS5</t>
  </si>
  <si>
    <t>Very Leaky</t>
  </si>
  <si>
    <t>TIGHTNESS_AS6</t>
  </si>
  <si>
    <t>TABULA minimal</t>
  </si>
  <si>
    <t>TIGHTNESS_MIN</t>
  </si>
  <si>
    <t>TABULA low</t>
  </si>
  <si>
    <t>TIGHTNESS_LOW</t>
  </si>
  <si>
    <t>TABULA medium</t>
  </si>
  <si>
    <t>TIGHTNESS_MED</t>
  </si>
  <si>
    <t>TABULA high</t>
  </si>
  <si>
    <t>TIGHTNESS_HIGH</t>
  </si>
  <si>
    <t>U_roof</t>
  </si>
  <si>
    <t>a_roof</t>
  </si>
  <si>
    <t>e_roof</t>
  </si>
  <si>
    <t>r_roof</t>
  </si>
  <si>
    <t>ROOF_MFH_G</t>
  </si>
  <si>
    <t>ROOF_MFH_H</t>
  </si>
  <si>
    <t>ROOF_MFH_I</t>
  </si>
  <si>
    <t>ROOF_MFH_J</t>
  </si>
  <si>
    <t>ROOF_NWG_1_A</t>
  </si>
  <si>
    <t>ROOF_NWG_1_B</t>
  </si>
  <si>
    <t>ROOF_NWG_1_C</t>
  </si>
  <si>
    <t>ROOF_NWG_3_A</t>
  </si>
  <si>
    <t>ROOF_NWG_3_B</t>
  </si>
  <si>
    <t>ROOF_NWG_3_C</t>
  </si>
  <si>
    <t>ROOF_NWG_4_A</t>
  </si>
  <si>
    <t>ROOF_NWG_4_B</t>
  </si>
  <si>
    <t>ROOF_NWG_4_C</t>
  </si>
  <si>
    <t>ROOF_NWG_5_C</t>
  </si>
  <si>
    <t>ROOF_NWG_7_A</t>
  </si>
  <si>
    <t>ROOF_NWG_7_B</t>
  </si>
  <si>
    <t>ROOF_NWG_7_C</t>
  </si>
  <si>
    <t>U_wall</t>
  </si>
  <si>
    <t>a_wall</t>
  </si>
  <si>
    <t>e_wall</t>
  </si>
  <si>
    <t>r_wall</t>
  </si>
  <si>
    <t>WALL_MFH_G</t>
  </si>
  <si>
    <t>WALL_MFH_H</t>
  </si>
  <si>
    <t>WALL_MFH_I</t>
  </si>
  <si>
    <t>WALL_MFH_J</t>
  </si>
  <si>
    <t>WALL_NWG_1_A</t>
  </si>
  <si>
    <t>WALL_NWG_1_B</t>
  </si>
  <si>
    <t>WALL_NWG_1_C</t>
  </si>
  <si>
    <t>WALL_NWG_3_A</t>
  </si>
  <si>
    <t>WALL_NWG_3_B</t>
  </si>
  <si>
    <t>WALL_NWG_3_C</t>
  </si>
  <si>
    <t>WALL_NWG_4_A</t>
  </si>
  <si>
    <t>WALL_NWG_4_B</t>
  </si>
  <si>
    <t>WALL_NWG_4_C</t>
  </si>
  <si>
    <t>WALL_NWG_5_C</t>
  </si>
  <si>
    <t>WALL_NWG_7_A</t>
  </si>
  <si>
    <t>WALL_NWG_7_B</t>
  </si>
  <si>
    <t>WALL_NWG_7_C</t>
  </si>
  <si>
    <t>U_base</t>
  </si>
  <si>
    <t>FLOOR_MFH_G</t>
  </si>
  <si>
    <t>FLOOR_MFH_H</t>
  </si>
  <si>
    <t>FLOOR_MFH_I</t>
  </si>
  <si>
    <t>FLOOR_MFH_J</t>
  </si>
  <si>
    <t>FLOOR_NWG_1_A</t>
  </si>
  <si>
    <t>FLOOR_NWG_1_B</t>
  </si>
  <si>
    <t>FLOOR_NWG_1_C</t>
  </si>
  <si>
    <t>FLOOR_NWG_3_A</t>
  </si>
  <si>
    <t>FLOOR_NWG_3_B</t>
  </si>
  <si>
    <t>FLOOR_NWG_3_C</t>
  </si>
  <si>
    <t>FLOOR_NWG_4_A</t>
  </si>
  <si>
    <t>FLOOR_NWG_4_B</t>
  </si>
  <si>
    <t>FLOOR_NWG_4_C</t>
  </si>
  <si>
    <t>FLOOR_NWG_5_C</t>
  </si>
  <si>
    <t>FLOOR_NWG_7_A</t>
  </si>
  <si>
    <t>FLOOR_NWG_7_B</t>
  </si>
  <si>
    <t>FLOOR_NWG_7_C</t>
  </si>
  <si>
    <t>U_win</t>
  </si>
  <si>
    <t>G_win</t>
  </si>
  <si>
    <t>e_win</t>
  </si>
  <si>
    <t>F_F</t>
  </si>
  <si>
    <t>rf_sh</t>
  </si>
  <si>
    <t>none</t>
  </si>
  <si>
    <t>SHADING_AS0</t>
  </si>
  <si>
    <t>rollo</t>
  </si>
  <si>
    <t>SHADING_AS1</t>
  </si>
  <si>
    <t>venetian blinds</t>
  </si>
  <si>
    <t>SHADING_AS2</t>
  </si>
  <si>
    <t>average in Germany</t>
  </si>
  <si>
    <t>SHADING_DE1</t>
  </si>
  <si>
    <t>outside shutters closed</t>
  </si>
  <si>
    <t>SHADING_DE2</t>
  </si>
  <si>
    <t>outside shutter 75% closed</t>
  </si>
  <si>
    <t>SHADING_DE3</t>
  </si>
  <si>
    <t>outside blinds 45°</t>
  </si>
  <si>
    <t>SHADING_DE4</t>
  </si>
  <si>
    <t>outside blinds 10°</t>
  </si>
  <si>
    <t>SHADING_DE5</t>
  </si>
  <si>
    <t>outside awning parallel</t>
  </si>
  <si>
    <t>SHADING_DE6</t>
  </si>
  <si>
    <t>outside acanopies/awning</t>
  </si>
  <si>
    <t>SHADING_DE7</t>
  </si>
  <si>
    <t>inside shading dark colours or high transparency</t>
  </si>
  <si>
    <t>SHADING_DE8</t>
  </si>
  <si>
    <t xml:space="preserve">inside shading white </t>
  </si>
  <si>
    <t>SHADING_DE9</t>
  </si>
  <si>
    <t>inside shading white low transparency</t>
  </si>
  <si>
    <t>SHADING_DE10</t>
  </si>
  <si>
    <t>ROOF_SFH_G</t>
  </si>
  <si>
    <t>ROOF_SFH_H</t>
  </si>
  <si>
    <t>ROOF_SFH_I</t>
  </si>
  <si>
    <t>ROOF_SFH_J</t>
  </si>
  <si>
    <t>WALL_SFH_G</t>
  </si>
  <si>
    <t>WALL_SFH_H</t>
  </si>
  <si>
    <t>WALL_SFH_I</t>
  </si>
  <si>
    <t>WALL_SFH_J</t>
  </si>
  <si>
    <t>FLOOR_SFH_G</t>
  </si>
  <si>
    <t>FLOOR_SFH_H</t>
  </si>
  <si>
    <t>FLOOR_SFH_I</t>
  </si>
  <si>
    <t>FLOOR_SFH_J</t>
  </si>
  <si>
    <t>GHG_roof_kgCO2m2</t>
  </si>
  <si>
    <t>GHG_wall_kgCO2m2</t>
  </si>
  <si>
    <t>GHG_floor_kgCO2m2</t>
  </si>
  <si>
    <t>WINDOW_SFH_G</t>
  </si>
  <si>
    <t>WINDOW_SFH_H</t>
  </si>
  <si>
    <t>WINDOW_SFH_I</t>
  </si>
  <si>
    <t>WINDOW_SFH_J</t>
  </si>
  <si>
    <t>WINDOW_MFH_G</t>
  </si>
  <si>
    <t>WINDOW_MFH_H</t>
  </si>
  <si>
    <t>WINDOW_MFH_I</t>
  </si>
  <si>
    <t>WINDOW_MFH_J</t>
  </si>
  <si>
    <t>WINDOW_NWG_1_A</t>
  </si>
  <si>
    <t>WINDOW_NWG_1_B</t>
  </si>
  <si>
    <t>WINDOW_NWG_1_C</t>
  </si>
  <si>
    <t>WINDOW_NWG_3_A</t>
  </si>
  <si>
    <t>WINDOW_NWG_3_B</t>
  </si>
  <si>
    <t>WINDOW_NWG_3_C</t>
  </si>
  <si>
    <t>WINDOW_NWG_4_A</t>
  </si>
  <si>
    <t>WINDOW_NWG_4_B</t>
  </si>
  <si>
    <t>WINDOW_NWG_4_C</t>
  </si>
  <si>
    <t>WINDOW_NWG_5_C</t>
  </si>
  <si>
    <t>WINDOW_NWG_7_A</t>
  </si>
  <si>
    <t>WINDOW_NWG_7_B</t>
  </si>
  <si>
    <t>WINDOW_NWG_7_C</t>
  </si>
  <si>
    <t>GHG_win_kgCO2m2</t>
  </si>
  <si>
    <t>Service_Life_win</t>
  </si>
  <si>
    <t>Service_Life_floor</t>
  </si>
  <si>
    <t>Service_Life_wall</t>
  </si>
  <si>
    <t>Service_Life_roof</t>
  </si>
  <si>
    <t>average in Japan (assumed)</t>
  </si>
  <si>
    <t>SHADING_JP</t>
  </si>
  <si>
    <t>Japanese Single family house 1950 - 1979</t>
  </si>
  <si>
    <t>Japanese Apartment 1950 - 1979</t>
  </si>
  <si>
    <t>Japanese Apartment 2000 - 2030</t>
  </si>
  <si>
    <t>Japanese Office, Administrative or Government Buildings 1950 - 1979</t>
  </si>
  <si>
    <t>Japanese Office, Administrative or Government Buildings 1980 - 1999</t>
  </si>
  <si>
    <t>Japanese Office, Administrative or Government Buildings 2000 - 2030</t>
  </si>
  <si>
    <t>Japanese Culture and Leisure 2000 - 2030</t>
  </si>
  <si>
    <t>Japanese Hotels, Boarding, Restaurants or Catering 1950 - 1979</t>
  </si>
  <si>
    <t>Japanese Hotels, Boarding, Restaurants or Catering 1980 - 1999</t>
  </si>
  <si>
    <t>Japanese Hotels, Boarding, Restaurants or Catering 2000 - 2030</t>
  </si>
  <si>
    <t>Japanese School, Day Nursery and other Care 2000 - 2030</t>
  </si>
  <si>
    <t>Japanese School, Day Nursery and other Care 1980 - 1999</t>
  </si>
  <si>
    <t>Japanese School, Day Nursery and other Care 1950 - 1979</t>
  </si>
  <si>
    <t>Japanese Apartment 1980 - 1991</t>
  </si>
  <si>
    <t>Japanese Single family house 1980 - 1991</t>
  </si>
  <si>
    <t>Japanese Single family house 1992 - 1999</t>
  </si>
  <si>
    <t>Japanese Apartment 1992 - 1999</t>
  </si>
  <si>
    <t>Japanese Single family house 2000 - 2030</t>
  </si>
  <si>
    <t>Japanese Health and Care 1950 - 1979</t>
  </si>
  <si>
    <t>Japanese Health and Care 1980 - 1999</t>
  </si>
  <si>
    <t>Japanese Health and Care 2000 - 2030</t>
  </si>
  <si>
    <t>ROOF_NWG_8_A</t>
  </si>
  <si>
    <t>ROOF_NWG_8_B</t>
  </si>
  <si>
    <t>ROOF_NWG_8_C</t>
  </si>
  <si>
    <t>Japanese Production, Workshop, Warehouse or Operations 1950 - 1979</t>
  </si>
  <si>
    <t>Japanese Production, Workshop, Warehouse or Operations 1980 - 1999</t>
  </si>
  <si>
    <t>Japanese Production, Workshop, Warehouse or Operations 2000 - 2030</t>
  </si>
  <si>
    <t>WALL_NWG_8_A</t>
  </si>
  <si>
    <t>WALL_NWG_8_B</t>
  </si>
  <si>
    <t>WALL_NWG_8_C</t>
  </si>
  <si>
    <t>FLOOR_NWG_8_A</t>
  </si>
  <si>
    <t>FLOOR_NWG_8_B</t>
  </si>
  <si>
    <t>FLOOR_NWG_8_C</t>
  </si>
  <si>
    <t>WINDOW_NWG_8_A</t>
  </si>
  <si>
    <t>WINDOW_NWG_8_B</t>
  </si>
  <si>
    <t>WINDOW_NWG_8_C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</si>
</sst>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theme="0"/>
      <name val="Calibri"/>
      <scheme val="minor"/>
    </font>
    <font>
      <sz val="11"/>
      <color indexed="65"/>
      <name val="Calibri"/>
    </font>
    <font>
      <sz val="11"/>
      <name val="Calibri"/>
    </font>
    <font>
      <sz val="10"/>
      <color theme="1"/>
      <name val="Calibri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theme="9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0"/>
        <bgColor rgb="FF7030A0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3" tint="0.59999389629810485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39997558519241921"/>
      </patternFill>
    </fill>
    <fill>
      <patternFill patternType="solid">
        <fgColor theme="0"/>
        <bgColor theme="5" tint="0.39997558519241921"/>
      </patternFill>
    </fill>
    <fill>
      <patternFill patternType="solid">
        <fgColor theme="0"/>
        <bgColor indexed="5"/>
      </patternFill>
    </fill>
    <fill>
      <patternFill patternType="solid">
        <fgColor theme="0"/>
        <bgColor rgb="FFFFEB9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7" fillId="0" borderId="0"/>
  </cellStyleXfs>
  <cellXfs count="32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4" fillId="4" borderId="3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8" fillId="6" borderId="1" xfId="2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2" fontId="8" fillId="9" borderId="1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/>
    </xf>
  </cellXfs>
  <cellStyles count="4">
    <cellStyle name="Normal" xfId="0" builtinId="0"/>
    <cellStyle name="Normal 2 2" xfId="1" xr:uid="{00000000-0005-0000-0000-000000000000}"/>
    <cellStyle name="Normal 2 2 2" xfId="3" xr:uid="{69CEFBE1-33AA-4300-BC5F-CA872F1C118A}"/>
    <cellStyle name="Standard 2" xfId="2" xr:uid="{E4184972-A79C-4D35-9CCD-CC7EF7AE4B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nlyoffice.com/workbookComments" Target="workbookComments.bin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E38" sqref="E38"/>
    </sheetView>
  </sheetViews>
  <sheetFormatPr defaultColWidth="9.140625" defaultRowHeight="15" x14ac:dyDescent="0.25"/>
  <cols>
    <col min="1" max="1" width="21.7109375" bestFit="1" customWidth="1"/>
    <col min="2" max="2" width="19.7109375" bestFit="1" customWidth="1"/>
    <col min="3" max="3" width="7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>
        <v>110000</v>
      </c>
    </row>
    <row r="3" spans="1:3" x14ac:dyDescent="0.25">
      <c r="A3" s="2" t="s">
        <v>5</v>
      </c>
      <c r="B3" s="3" t="s">
        <v>6</v>
      </c>
      <c r="C3" s="3">
        <v>165000</v>
      </c>
    </row>
    <row r="4" spans="1:3" x14ac:dyDescent="0.25">
      <c r="A4" s="2" t="s">
        <v>7</v>
      </c>
      <c r="B4" s="3" t="s">
        <v>8</v>
      </c>
      <c r="C4" s="3">
        <v>300000</v>
      </c>
    </row>
    <row r="5" spans="1:3" x14ac:dyDescent="0.25">
      <c r="A5" s="2" t="s">
        <v>9</v>
      </c>
      <c r="B5" s="3" t="s">
        <v>10</v>
      </c>
      <c r="C5" s="3">
        <v>162000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8" sqref="C8"/>
    </sheetView>
  </sheetViews>
  <sheetFormatPr defaultColWidth="9.140625" defaultRowHeight="15" x14ac:dyDescent="0.25"/>
  <cols>
    <col min="1" max="2" width="17.7109375" bestFit="1" customWidth="1"/>
  </cols>
  <sheetData>
    <row r="1" spans="1:3" x14ac:dyDescent="0.25">
      <c r="A1" s="1" t="s">
        <v>0</v>
      </c>
      <c r="B1" s="1" t="s">
        <v>1</v>
      </c>
      <c r="C1" s="1" t="s">
        <v>11</v>
      </c>
    </row>
    <row r="2" spans="1:3" x14ac:dyDescent="0.25">
      <c r="A2" s="2" t="s">
        <v>12</v>
      </c>
      <c r="B2" s="3" t="s">
        <v>13</v>
      </c>
      <c r="C2" s="3">
        <v>1</v>
      </c>
    </row>
    <row r="3" spans="1:3" x14ac:dyDescent="0.25">
      <c r="A3" s="2" t="s">
        <v>14</v>
      </c>
      <c r="B3" s="3" t="s">
        <v>15</v>
      </c>
      <c r="C3" s="3">
        <v>2</v>
      </c>
    </row>
    <row r="4" spans="1:3" x14ac:dyDescent="0.25">
      <c r="A4" s="2" t="s">
        <v>16</v>
      </c>
      <c r="B4" s="3" t="s">
        <v>17</v>
      </c>
      <c r="C4" s="3">
        <v>3</v>
      </c>
    </row>
    <row r="5" spans="1:3" x14ac:dyDescent="0.25">
      <c r="A5" s="2" t="s">
        <v>18</v>
      </c>
      <c r="B5" s="3" t="s">
        <v>19</v>
      </c>
      <c r="C5" s="3">
        <v>4</v>
      </c>
    </row>
    <row r="6" spans="1:3" x14ac:dyDescent="0.25">
      <c r="A6" s="2" t="s">
        <v>20</v>
      </c>
      <c r="B6" s="3" t="s">
        <v>21</v>
      </c>
      <c r="C6" s="3">
        <v>5</v>
      </c>
    </row>
    <row r="7" spans="1:3" x14ac:dyDescent="0.25">
      <c r="A7" s="2" t="s">
        <v>22</v>
      </c>
      <c r="B7" s="3" t="s">
        <v>23</v>
      </c>
      <c r="C7" s="3">
        <v>6</v>
      </c>
    </row>
    <row r="8" spans="1:3" x14ac:dyDescent="0.25">
      <c r="A8" s="2" t="s">
        <v>24</v>
      </c>
      <c r="B8" s="3" t="s">
        <v>25</v>
      </c>
      <c r="C8" s="3">
        <v>1</v>
      </c>
    </row>
    <row r="9" spans="1:3" x14ac:dyDescent="0.25">
      <c r="A9" s="2" t="s">
        <v>26</v>
      </c>
      <c r="B9" s="3" t="s">
        <v>27</v>
      </c>
      <c r="C9" s="3">
        <v>1.5</v>
      </c>
    </row>
    <row r="10" spans="1:3" x14ac:dyDescent="0.25">
      <c r="A10" s="2" t="s">
        <v>28</v>
      </c>
      <c r="B10" s="3" t="s">
        <v>29</v>
      </c>
      <c r="C10" s="3">
        <v>2.5</v>
      </c>
    </row>
    <row r="11" spans="1:3" x14ac:dyDescent="0.25">
      <c r="A11" s="2" t="s">
        <v>30</v>
      </c>
      <c r="B11" s="3" t="s">
        <v>31</v>
      </c>
      <c r="C11" s="3">
        <v>4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abSelected="1" workbookViewId="0">
      <selection activeCell="A30" sqref="A30"/>
    </sheetView>
  </sheetViews>
  <sheetFormatPr defaultColWidth="9.140625" defaultRowHeight="15" x14ac:dyDescent="0.25"/>
  <cols>
    <col min="1" max="1" width="83.7109375" bestFit="1" customWidth="1"/>
    <col min="2" max="2" width="22.28515625" bestFit="1" customWidth="1"/>
    <col min="3" max="3" width="11.140625" customWidth="1"/>
    <col min="4" max="4" width="10.140625" customWidth="1"/>
    <col min="5" max="5" width="11" customWidth="1"/>
    <col min="7" max="7" width="20.28515625" bestFit="1" customWidth="1"/>
    <col min="8" max="8" width="16.5703125" bestFit="1" customWidth="1"/>
  </cols>
  <sheetData>
    <row r="1" spans="1:8" x14ac:dyDescent="0.25">
      <c r="A1" s="30" t="s">
        <v>0</v>
      </c>
      <c r="B1" s="30" t="s">
        <v>1</v>
      </c>
      <c r="C1" s="30" t="s">
        <v>32</v>
      </c>
      <c r="D1" s="30" t="s">
        <v>33</v>
      </c>
      <c r="E1" s="30" t="s">
        <v>34</v>
      </c>
      <c r="F1" s="30" t="s">
        <v>35</v>
      </c>
      <c r="G1" s="4" t="s">
        <v>135</v>
      </c>
      <c r="H1" s="4" t="s">
        <v>163</v>
      </c>
    </row>
    <row r="2" spans="1:8" x14ac:dyDescent="0.25">
      <c r="A2" s="2" t="s">
        <v>166</v>
      </c>
      <c r="B2" s="11" t="s">
        <v>123</v>
      </c>
      <c r="C2" s="29">
        <v>1.67</v>
      </c>
      <c r="D2" s="14">
        <v>0.55000000000000004</v>
      </c>
      <c r="E2" s="14">
        <v>0.91</v>
      </c>
      <c r="F2" s="14">
        <f t="shared" ref="F2:F9" si="0">1-D2</f>
        <v>0.44999999999999996</v>
      </c>
      <c r="G2" s="23">
        <v>112</v>
      </c>
      <c r="H2" s="16">
        <v>60</v>
      </c>
    </row>
    <row r="3" spans="1:8" x14ac:dyDescent="0.25">
      <c r="A3" s="2" t="s">
        <v>180</v>
      </c>
      <c r="B3" s="11" t="s">
        <v>124</v>
      </c>
      <c r="C3" s="29">
        <v>1.54</v>
      </c>
      <c r="D3" s="14">
        <v>0.55000000000000004</v>
      </c>
      <c r="E3" s="14">
        <v>0.91</v>
      </c>
      <c r="F3" s="14">
        <f t="shared" si="0"/>
        <v>0.44999999999999996</v>
      </c>
      <c r="G3" s="23">
        <v>112</v>
      </c>
      <c r="H3" s="16">
        <v>60</v>
      </c>
    </row>
    <row r="4" spans="1:8" x14ac:dyDescent="0.25">
      <c r="A4" s="2" t="s">
        <v>181</v>
      </c>
      <c r="B4" s="11" t="s">
        <v>125</v>
      </c>
      <c r="C4" s="29">
        <v>0.87</v>
      </c>
      <c r="D4" s="14">
        <v>0.55000000000000004</v>
      </c>
      <c r="E4" s="14">
        <v>0.91</v>
      </c>
      <c r="F4" s="14">
        <f t="shared" si="0"/>
        <v>0.44999999999999996</v>
      </c>
      <c r="G4" s="23">
        <v>112</v>
      </c>
      <c r="H4" s="16">
        <v>60</v>
      </c>
    </row>
    <row r="5" spans="1:8" x14ac:dyDescent="0.25">
      <c r="A5" s="2" t="s">
        <v>183</v>
      </c>
      <c r="B5" s="11" t="s">
        <v>126</v>
      </c>
      <c r="C5" s="29">
        <v>0.6</v>
      </c>
      <c r="D5" s="14">
        <v>0.55000000000000004</v>
      </c>
      <c r="E5" s="14">
        <v>0.91</v>
      </c>
      <c r="F5" s="14">
        <f t="shared" si="0"/>
        <v>0.44999999999999996</v>
      </c>
      <c r="G5" s="23">
        <v>112</v>
      </c>
      <c r="H5" s="16">
        <v>60</v>
      </c>
    </row>
    <row r="6" spans="1:8" x14ac:dyDescent="0.25">
      <c r="A6" s="2" t="s">
        <v>167</v>
      </c>
      <c r="B6" s="12" t="s">
        <v>36</v>
      </c>
      <c r="C6" s="29">
        <v>1.67</v>
      </c>
      <c r="D6" s="14">
        <v>0.55000000000000004</v>
      </c>
      <c r="E6" s="14">
        <v>0.91</v>
      </c>
      <c r="F6" s="14">
        <f t="shared" si="0"/>
        <v>0.44999999999999996</v>
      </c>
      <c r="G6" s="23">
        <v>112</v>
      </c>
      <c r="H6" s="16">
        <v>60</v>
      </c>
    </row>
    <row r="7" spans="1:8" x14ac:dyDescent="0.25">
      <c r="A7" s="2" t="s">
        <v>179</v>
      </c>
      <c r="B7" s="12" t="s">
        <v>37</v>
      </c>
      <c r="C7" s="29">
        <v>1.54</v>
      </c>
      <c r="D7" s="14">
        <v>0.55000000000000004</v>
      </c>
      <c r="E7" s="14">
        <v>0.91</v>
      </c>
      <c r="F7" s="14">
        <f t="shared" si="0"/>
        <v>0.44999999999999996</v>
      </c>
      <c r="G7" s="23">
        <v>112</v>
      </c>
      <c r="H7" s="16">
        <v>60</v>
      </c>
    </row>
    <row r="8" spans="1:8" x14ac:dyDescent="0.25">
      <c r="A8" s="2" t="s">
        <v>182</v>
      </c>
      <c r="B8" s="12" t="s">
        <v>38</v>
      </c>
      <c r="C8" s="29">
        <v>0.87</v>
      </c>
      <c r="D8" s="14">
        <v>0.55000000000000004</v>
      </c>
      <c r="E8" s="14">
        <v>0.91</v>
      </c>
      <c r="F8" s="14">
        <f t="shared" si="0"/>
        <v>0.44999999999999996</v>
      </c>
      <c r="G8" s="23">
        <v>112</v>
      </c>
      <c r="H8" s="16">
        <v>60</v>
      </c>
    </row>
    <row r="9" spans="1:8" x14ac:dyDescent="0.25">
      <c r="A9" s="2" t="s">
        <v>168</v>
      </c>
      <c r="B9" s="12" t="s">
        <v>39</v>
      </c>
      <c r="C9" s="29">
        <v>0.6</v>
      </c>
      <c r="D9" s="14">
        <v>0.55000000000000004</v>
      </c>
      <c r="E9" s="14">
        <v>0.91</v>
      </c>
      <c r="F9" s="14">
        <f t="shared" si="0"/>
        <v>0.44999999999999996</v>
      </c>
      <c r="G9" s="23">
        <v>112</v>
      </c>
      <c r="H9" s="16">
        <v>60</v>
      </c>
    </row>
    <row r="10" spans="1:8" x14ac:dyDescent="0.25">
      <c r="A10" s="2" t="s">
        <v>169</v>
      </c>
      <c r="B10" s="14" t="s">
        <v>40</v>
      </c>
      <c r="C10" s="15">
        <v>1.67</v>
      </c>
      <c r="D10" s="14">
        <v>0.55000000000000004</v>
      </c>
      <c r="E10" s="14">
        <v>0.91</v>
      </c>
      <c r="F10" s="14">
        <f t="shared" ref="F10:F22" si="1">1-D10</f>
        <v>0.44999999999999996</v>
      </c>
      <c r="G10" s="13">
        <v>112</v>
      </c>
      <c r="H10" s="16">
        <v>60</v>
      </c>
    </row>
    <row r="11" spans="1:8" x14ac:dyDescent="0.25">
      <c r="A11" s="2" t="s">
        <v>170</v>
      </c>
      <c r="B11" s="14" t="s">
        <v>41</v>
      </c>
      <c r="C11" s="15">
        <v>0.87</v>
      </c>
      <c r="D11" s="14">
        <v>0.55000000000000004</v>
      </c>
      <c r="E11" s="14">
        <v>0.91</v>
      </c>
      <c r="F11" s="14">
        <f t="shared" si="1"/>
        <v>0.44999999999999996</v>
      </c>
      <c r="G11" s="13">
        <v>112</v>
      </c>
      <c r="H11" s="16">
        <v>60</v>
      </c>
    </row>
    <row r="12" spans="1:8" x14ac:dyDescent="0.25">
      <c r="A12" s="2" t="s">
        <v>171</v>
      </c>
      <c r="B12" s="14" t="s">
        <v>42</v>
      </c>
      <c r="C12" s="29">
        <v>0.6</v>
      </c>
      <c r="D12" s="14">
        <v>0.55000000000000004</v>
      </c>
      <c r="E12" s="14">
        <v>0.91</v>
      </c>
      <c r="F12" s="14">
        <f t="shared" si="1"/>
        <v>0.44999999999999996</v>
      </c>
      <c r="G12" s="13">
        <v>112</v>
      </c>
      <c r="H12" s="16">
        <v>60</v>
      </c>
    </row>
    <row r="13" spans="1:8" x14ac:dyDescent="0.25">
      <c r="A13" s="2" t="s">
        <v>184</v>
      </c>
      <c r="B13" s="13" t="s">
        <v>43</v>
      </c>
      <c r="C13" s="15">
        <v>0.87</v>
      </c>
      <c r="D13" s="14">
        <v>0.55000000000000016</v>
      </c>
      <c r="E13" s="14">
        <v>0.91000000000000014</v>
      </c>
      <c r="F13" s="14">
        <f t="shared" si="1"/>
        <v>0.44999999999999984</v>
      </c>
      <c r="G13" s="13">
        <v>112</v>
      </c>
      <c r="H13" s="16">
        <v>60</v>
      </c>
    </row>
    <row r="14" spans="1:8" x14ac:dyDescent="0.25">
      <c r="A14" s="2" t="s">
        <v>185</v>
      </c>
      <c r="B14" s="13" t="s">
        <v>44</v>
      </c>
      <c r="C14" s="29">
        <v>0.6</v>
      </c>
      <c r="D14" s="14">
        <v>0.55000000000000016</v>
      </c>
      <c r="E14" s="14">
        <v>0.91000000000000014</v>
      </c>
      <c r="F14" s="14">
        <f t="shared" si="1"/>
        <v>0.44999999999999984</v>
      </c>
      <c r="G14" s="13">
        <v>112</v>
      </c>
      <c r="H14" s="16">
        <v>60</v>
      </c>
    </row>
    <row r="15" spans="1:8" x14ac:dyDescent="0.25">
      <c r="A15" s="2" t="s">
        <v>186</v>
      </c>
      <c r="B15" s="13" t="s">
        <v>45</v>
      </c>
      <c r="C15" s="31">
        <v>0.46</v>
      </c>
      <c r="D15" s="14">
        <v>0.55000000000000016</v>
      </c>
      <c r="E15" s="14">
        <v>0.91000000000000014</v>
      </c>
      <c r="F15" s="14">
        <f t="shared" si="1"/>
        <v>0.44999999999999984</v>
      </c>
      <c r="G15" s="13">
        <v>112</v>
      </c>
      <c r="H15" s="16">
        <v>60</v>
      </c>
    </row>
    <row r="16" spans="1:8" x14ac:dyDescent="0.25">
      <c r="A16" s="2" t="s">
        <v>178</v>
      </c>
      <c r="B16" s="17" t="s">
        <v>46</v>
      </c>
      <c r="C16" s="15">
        <v>0.87</v>
      </c>
      <c r="D16" s="14">
        <v>0.55000000000000016</v>
      </c>
      <c r="E16" s="14">
        <v>0.91000000000000014</v>
      </c>
      <c r="F16" s="14">
        <f t="shared" si="1"/>
        <v>0.44999999999999984</v>
      </c>
      <c r="G16" s="13">
        <v>112</v>
      </c>
      <c r="H16" s="16">
        <v>60</v>
      </c>
    </row>
    <row r="17" spans="1:8" x14ac:dyDescent="0.25">
      <c r="A17" s="2" t="s">
        <v>177</v>
      </c>
      <c r="B17" s="17" t="s">
        <v>47</v>
      </c>
      <c r="C17" s="29">
        <v>0.6</v>
      </c>
      <c r="D17" s="14">
        <v>0.55000000000000016</v>
      </c>
      <c r="E17" s="14">
        <v>0.91000000000000014</v>
      </c>
      <c r="F17" s="14">
        <f t="shared" si="1"/>
        <v>0.44999999999999984</v>
      </c>
      <c r="G17" s="13">
        <v>112</v>
      </c>
      <c r="H17" s="16">
        <v>60</v>
      </c>
    </row>
    <row r="18" spans="1:8" x14ac:dyDescent="0.25">
      <c r="A18" s="2" t="s">
        <v>176</v>
      </c>
      <c r="B18" s="17" t="s">
        <v>48</v>
      </c>
      <c r="C18" s="31">
        <v>0.46</v>
      </c>
      <c r="D18" s="14">
        <v>0.55000000000000016</v>
      </c>
      <c r="E18" s="14">
        <v>0.91000000000000014</v>
      </c>
      <c r="F18" s="14">
        <f t="shared" si="1"/>
        <v>0.44999999999999984</v>
      </c>
      <c r="G18" s="13">
        <v>112</v>
      </c>
      <c r="H18" s="16">
        <v>60</v>
      </c>
    </row>
    <row r="19" spans="1:8" x14ac:dyDescent="0.25">
      <c r="A19" s="2" t="s">
        <v>172</v>
      </c>
      <c r="B19" s="16" t="s">
        <v>49</v>
      </c>
      <c r="C19" s="15">
        <v>0.46</v>
      </c>
      <c r="D19" s="14">
        <v>0.55000000000000016</v>
      </c>
      <c r="E19" s="14">
        <v>0.91000000000000014</v>
      </c>
      <c r="F19" s="14">
        <f t="shared" si="1"/>
        <v>0.44999999999999984</v>
      </c>
      <c r="G19" s="13">
        <v>112</v>
      </c>
      <c r="H19" s="16">
        <v>60</v>
      </c>
    </row>
    <row r="20" spans="1:8" x14ac:dyDescent="0.25">
      <c r="A20" s="2" t="s">
        <v>173</v>
      </c>
      <c r="B20" s="18" t="s">
        <v>50</v>
      </c>
      <c r="C20" s="15">
        <v>1.54</v>
      </c>
      <c r="D20" s="14">
        <v>0.55000000000000016</v>
      </c>
      <c r="E20" s="14">
        <v>0.91000000000000014</v>
      </c>
      <c r="F20" s="14">
        <f t="shared" si="1"/>
        <v>0.44999999999999984</v>
      </c>
      <c r="G20" s="13">
        <v>112</v>
      </c>
      <c r="H20" s="16">
        <v>60</v>
      </c>
    </row>
    <row r="21" spans="1:8" x14ac:dyDescent="0.25">
      <c r="A21" s="2" t="s">
        <v>174</v>
      </c>
      <c r="B21" s="18" t="s">
        <v>51</v>
      </c>
      <c r="C21" s="15">
        <v>0.87</v>
      </c>
      <c r="D21" s="14">
        <v>0.55000000000000016</v>
      </c>
      <c r="E21" s="14">
        <v>0.91000000000000014</v>
      </c>
      <c r="F21" s="14">
        <f t="shared" si="1"/>
        <v>0.44999999999999984</v>
      </c>
      <c r="G21" s="13">
        <v>112</v>
      </c>
      <c r="H21" s="16">
        <v>60</v>
      </c>
    </row>
    <row r="22" spans="1:8" x14ac:dyDescent="0.25">
      <c r="A22" s="2" t="s">
        <v>175</v>
      </c>
      <c r="B22" s="18" t="s">
        <v>52</v>
      </c>
      <c r="C22" s="29">
        <v>0.6</v>
      </c>
      <c r="D22" s="14">
        <v>0.55000000000000016</v>
      </c>
      <c r="E22" s="14">
        <v>0.91000000000000014</v>
      </c>
      <c r="F22" s="14">
        <f t="shared" si="1"/>
        <v>0.44999999999999984</v>
      </c>
      <c r="G22" s="13">
        <v>112</v>
      </c>
      <c r="H22" s="16">
        <v>60</v>
      </c>
    </row>
    <row r="23" spans="1:8" x14ac:dyDescent="0.25">
      <c r="A23" s="2" t="s">
        <v>190</v>
      </c>
      <c r="B23" s="18" t="s">
        <v>187</v>
      </c>
      <c r="C23" s="15">
        <v>1.54</v>
      </c>
      <c r="D23" s="14">
        <v>0.55000000000000016</v>
      </c>
      <c r="E23" s="14">
        <v>0.91000000000000014</v>
      </c>
      <c r="F23" s="14">
        <f t="shared" ref="F23:F25" si="2">1-D23</f>
        <v>0.44999999999999984</v>
      </c>
      <c r="G23" s="13">
        <v>112</v>
      </c>
      <c r="H23" s="16">
        <v>60</v>
      </c>
    </row>
    <row r="24" spans="1:8" x14ac:dyDescent="0.25">
      <c r="A24" s="2" t="s">
        <v>191</v>
      </c>
      <c r="B24" s="18" t="s">
        <v>188</v>
      </c>
      <c r="C24" s="15">
        <v>0.87</v>
      </c>
      <c r="D24" s="14">
        <v>0.55000000000000016</v>
      </c>
      <c r="E24" s="14">
        <v>0.91000000000000014</v>
      </c>
      <c r="F24" s="14">
        <f t="shared" si="2"/>
        <v>0.44999999999999984</v>
      </c>
      <c r="G24" s="13">
        <v>112</v>
      </c>
      <c r="H24" s="16">
        <v>60</v>
      </c>
    </row>
    <row r="25" spans="1:8" x14ac:dyDescent="0.25">
      <c r="A25" s="2" t="s">
        <v>192</v>
      </c>
      <c r="B25" s="18" t="s">
        <v>189</v>
      </c>
      <c r="C25" s="29">
        <v>0.6</v>
      </c>
      <c r="D25" s="14">
        <v>0.55000000000000016</v>
      </c>
      <c r="E25" s="14">
        <v>0.91000000000000014</v>
      </c>
      <c r="F25" s="14">
        <f t="shared" si="2"/>
        <v>0.44999999999999984</v>
      </c>
      <c r="G25" s="13">
        <v>112</v>
      </c>
      <c r="H25" s="16">
        <v>60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B26" sqref="B26"/>
    </sheetView>
  </sheetViews>
  <sheetFormatPr defaultColWidth="9.140625" defaultRowHeight="15" x14ac:dyDescent="0.25"/>
  <cols>
    <col min="1" max="1" width="92.7109375" bestFit="1" customWidth="1"/>
    <col min="2" max="2" width="22.140625" bestFit="1" customWidth="1"/>
    <col min="7" max="7" width="20.28515625" bestFit="1" customWidth="1"/>
    <col min="8" max="8" width="16.5703125" bestFit="1" customWidth="1"/>
  </cols>
  <sheetData>
    <row r="1" spans="1:8" x14ac:dyDescent="0.25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56</v>
      </c>
      <c r="G1" s="4" t="s">
        <v>136</v>
      </c>
      <c r="H1" s="4" t="s">
        <v>162</v>
      </c>
    </row>
    <row r="2" spans="1:8" x14ac:dyDescent="0.25">
      <c r="A2" s="2" t="s">
        <v>166</v>
      </c>
      <c r="B2" s="11" t="s">
        <v>127</v>
      </c>
      <c r="C2" s="29">
        <v>1.67</v>
      </c>
      <c r="D2" s="27">
        <v>0.3</v>
      </c>
      <c r="E2" s="27">
        <v>0.84</v>
      </c>
      <c r="F2" s="27">
        <f t="shared" ref="F2:F9" si="0">1-D2</f>
        <v>0.7</v>
      </c>
      <c r="G2" s="27">
        <v>112</v>
      </c>
      <c r="H2" s="23">
        <v>30</v>
      </c>
    </row>
    <row r="3" spans="1:8" x14ac:dyDescent="0.25">
      <c r="A3" s="2" t="s">
        <v>180</v>
      </c>
      <c r="B3" s="11" t="s">
        <v>128</v>
      </c>
      <c r="C3" s="29">
        <v>1.54</v>
      </c>
      <c r="D3" s="27">
        <v>0.3</v>
      </c>
      <c r="E3" s="27">
        <v>0.84</v>
      </c>
      <c r="F3" s="27">
        <f t="shared" si="0"/>
        <v>0.7</v>
      </c>
      <c r="G3" s="27">
        <v>112</v>
      </c>
      <c r="H3" s="23">
        <v>30</v>
      </c>
    </row>
    <row r="4" spans="1:8" x14ac:dyDescent="0.25">
      <c r="A4" s="2" t="s">
        <v>181</v>
      </c>
      <c r="B4" s="11" t="s">
        <v>129</v>
      </c>
      <c r="C4" s="29">
        <v>0.87</v>
      </c>
      <c r="D4" s="26">
        <v>0.68</v>
      </c>
      <c r="E4" s="26">
        <v>0.92</v>
      </c>
      <c r="F4" s="26">
        <f t="shared" si="0"/>
        <v>0.31999999999999995</v>
      </c>
      <c r="G4" s="26">
        <v>57</v>
      </c>
      <c r="H4" s="23">
        <v>30</v>
      </c>
    </row>
    <row r="5" spans="1:8" x14ac:dyDescent="0.25">
      <c r="A5" s="2" t="s">
        <v>183</v>
      </c>
      <c r="B5" s="11" t="s">
        <v>130</v>
      </c>
      <c r="C5" s="29">
        <v>0.6</v>
      </c>
      <c r="D5" s="26">
        <v>0.68</v>
      </c>
      <c r="E5" s="26">
        <v>0.92</v>
      </c>
      <c r="F5" s="26">
        <f t="shared" si="0"/>
        <v>0.31999999999999995</v>
      </c>
      <c r="G5" s="26">
        <v>57</v>
      </c>
      <c r="H5" s="23">
        <v>30</v>
      </c>
    </row>
    <row r="6" spans="1:8" x14ac:dyDescent="0.25">
      <c r="A6" s="2" t="s">
        <v>167</v>
      </c>
      <c r="B6" s="12" t="s">
        <v>57</v>
      </c>
      <c r="C6" s="29">
        <v>1.67</v>
      </c>
      <c r="D6" s="27">
        <v>0.3</v>
      </c>
      <c r="E6" s="27">
        <v>0.84</v>
      </c>
      <c r="F6" s="27">
        <f t="shared" si="0"/>
        <v>0.7</v>
      </c>
      <c r="G6" s="27">
        <v>112</v>
      </c>
      <c r="H6" s="23">
        <v>30</v>
      </c>
    </row>
    <row r="7" spans="1:8" x14ac:dyDescent="0.25">
      <c r="A7" s="2" t="s">
        <v>179</v>
      </c>
      <c r="B7" s="12" t="s">
        <v>58</v>
      </c>
      <c r="C7" s="29">
        <v>1.54</v>
      </c>
      <c r="D7" s="27">
        <v>0.3</v>
      </c>
      <c r="E7" s="27">
        <v>0.84</v>
      </c>
      <c r="F7" s="27">
        <f t="shared" si="0"/>
        <v>0.7</v>
      </c>
      <c r="G7" s="27">
        <v>112</v>
      </c>
      <c r="H7" s="23">
        <v>30</v>
      </c>
    </row>
    <row r="8" spans="1:8" x14ac:dyDescent="0.25">
      <c r="A8" s="2" t="s">
        <v>182</v>
      </c>
      <c r="B8" s="12" t="s">
        <v>59</v>
      </c>
      <c r="C8" s="29">
        <v>0.87</v>
      </c>
      <c r="D8" s="27">
        <v>0.3</v>
      </c>
      <c r="E8" s="27">
        <v>0.84</v>
      </c>
      <c r="F8" s="27">
        <f t="shared" si="0"/>
        <v>0.7</v>
      </c>
      <c r="G8" s="27">
        <v>112</v>
      </c>
      <c r="H8" s="23">
        <v>30</v>
      </c>
    </row>
    <row r="9" spans="1:8" x14ac:dyDescent="0.25">
      <c r="A9" s="2" t="s">
        <v>168</v>
      </c>
      <c r="B9" s="12" t="s">
        <v>60</v>
      </c>
      <c r="C9" s="29">
        <v>0.6</v>
      </c>
      <c r="D9" s="26">
        <v>0.68</v>
      </c>
      <c r="E9" s="26">
        <v>0.92</v>
      </c>
      <c r="F9" s="26">
        <f t="shared" si="0"/>
        <v>0.31999999999999995</v>
      </c>
      <c r="G9" s="26">
        <v>57</v>
      </c>
      <c r="H9" s="23">
        <v>30</v>
      </c>
    </row>
    <row r="10" spans="1:8" x14ac:dyDescent="0.25">
      <c r="A10" s="2" t="s">
        <v>169</v>
      </c>
      <c r="B10" s="14" t="s">
        <v>61</v>
      </c>
      <c r="C10" s="15">
        <v>1.67</v>
      </c>
      <c r="D10" s="15">
        <v>0.5</v>
      </c>
      <c r="E10" s="15">
        <v>0.8</v>
      </c>
      <c r="F10" s="15">
        <v>0.5</v>
      </c>
      <c r="G10" s="28">
        <v>112</v>
      </c>
      <c r="H10" s="23">
        <v>30</v>
      </c>
    </row>
    <row r="11" spans="1:8" x14ac:dyDescent="0.25">
      <c r="A11" s="2" t="s">
        <v>170</v>
      </c>
      <c r="B11" s="14" t="s">
        <v>62</v>
      </c>
      <c r="C11" s="15">
        <v>0.87</v>
      </c>
      <c r="D11" s="15">
        <v>0.5</v>
      </c>
      <c r="E11" s="15">
        <v>0.8</v>
      </c>
      <c r="F11" s="15">
        <v>0.5</v>
      </c>
      <c r="G11" s="28">
        <v>112</v>
      </c>
      <c r="H11" s="23">
        <v>30</v>
      </c>
    </row>
    <row r="12" spans="1:8" x14ac:dyDescent="0.25">
      <c r="A12" s="2" t="s">
        <v>171</v>
      </c>
      <c r="B12" s="14" t="s">
        <v>63</v>
      </c>
      <c r="C12" s="29">
        <v>0.6</v>
      </c>
      <c r="D12" s="15">
        <v>0.5</v>
      </c>
      <c r="E12" s="15">
        <v>0.8</v>
      </c>
      <c r="F12" s="15">
        <v>0.5</v>
      </c>
      <c r="G12" s="28">
        <v>112</v>
      </c>
      <c r="H12" s="23">
        <v>30</v>
      </c>
    </row>
    <row r="13" spans="1:8" x14ac:dyDescent="0.25">
      <c r="A13" s="2" t="s">
        <v>184</v>
      </c>
      <c r="B13" s="13" t="s">
        <v>64</v>
      </c>
      <c r="C13" s="15">
        <v>0.87</v>
      </c>
      <c r="D13" s="15">
        <v>0.5</v>
      </c>
      <c r="E13" s="15">
        <v>0.80000000000000016</v>
      </c>
      <c r="F13" s="15">
        <v>0.5</v>
      </c>
      <c r="G13" s="28">
        <v>112</v>
      </c>
      <c r="H13" s="23">
        <v>30</v>
      </c>
    </row>
    <row r="14" spans="1:8" x14ac:dyDescent="0.25">
      <c r="A14" s="2" t="s">
        <v>185</v>
      </c>
      <c r="B14" s="13" t="s">
        <v>65</v>
      </c>
      <c r="C14" s="29">
        <v>0.6</v>
      </c>
      <c r="D14" s="15">
        <v>0.5</v>
      </c>
      <c r="E14" s="15">
        <v>0.80000000000000016</v>
      </c>
      <c r="F14" s="15">
        <v>0.5</v>
      </c>
      <c r="G14" s="28">
        <v>112</v>
      </c>
      <c r="H14" s="23">
        <v>30</v>
      </c>
    </row>
    <row r="15" spans="1:8" x14ac:dyDescent="0.25">
      <c r="A15" s="2" t="s">
        <v>186</v>
      </c>
      <c r="B15" s="13" t="s">
        <v>66</v>
      </c>
      <c r="C15" s="31">
        <v>0.46</v>
      </c>
      <c r="D15" s="15">
        <v>0.5</v>
      </c>
      <c r="E15" s="15">
        <v>0.80000000000000016</v>
      </c>
      <c r="F15" s="15">
        <v>0.5</v>
      </c>
      <c r="G15" s="28">
        <v>112</v>
      </c>
      <c r="H15" s="23">
        <v>30</v>
      </c>
    </row>
    <row r="16" spans="1:8" x14ac:dyDescent="0.25">
      <c r="A16" s="2" t="s">
        <v>178</v>
      </c>
      <c r="B16" s="17" t="s">
        <v>67</v>
      </c>
      <c r="C16" s="15">
        <v>0.87</v>
      </c>
      <c r="D16" s="15">
        <v>0.5</v>
      </c>
      <c r="E16" s="15">
        <v>0.80000000000000016</v>
      </c>
      <c r="F16" s="15">
        <v>0.5</v>
      </c>
      <c r="G16" s="28">
        <v>112</v>
      </c>
      <c r="H16" s="23">
        <v>30</v>
      </c>
    </row>
    <row r="17" spans="1:8" x14ac:dyDescent="0.25">
      <c r="A17" s="2" t="s">
        <v>177</v>
      </c>
      <c r="B17" s="17" t="s">
        <v>68</v>
      </c>
      <c r="C17" s="29">
        <v>0.6</v>
      </c>
      <c r="D17" s="15">
        <v>0.5</v>
      </c>
      <c r="E17" s="15">
        <v>0.80000000000000016</v>
      </c>
      <c r="F17" s="15">
        <v>0.5</v>
      </c>
      <c r="G17" s="28">
        <v>112</v>
      </c>
      <c r="H17" s="23">
        <v>30</v>
      </c>
    </row>
    <row r="18" spans="1:8" x14ac:dyDescent="0.25">
      <c r="A18" s="2" t="s">
        <v>176</v>
      </c>
      <c r="B18" s="17" t="s">
        <v>69</v>
      </c>
      <c r="C18" s="31">
        <v>0.46</v>
      </c>
      <c r="D18" s="15">
        <v>0.5</v>
      </c>
      <c r="E18" s="15">
        <v>0.80000000000000016</v>
      </c>
      <c r="F18" s="15">
        <v>0.5</v>
      </c>
      <c r="G18" s="28">
        <v>112</v>
      </c>
      <c r="H18" s="23">
        <v>30</v>
      </c>
    </row>
    <row r="19" spans="1:8" x14ac:dyDescent="0.25">
      <c r="A19" s="2" t="s">
        <v>172</v>
      </c>
      <c r="B19" s="16" t="s">
        <v>70</v>
      </c>
      <c r="C19" s="15">
        <v>0.46</v>
      </c>
      <c r="D19" s="15">
        <v>0.5</v>
      </c>
      <c r="E19" s="15">
        <v>0.80000000000000016</v>
      </c>
      <c r="F19" s="15">
        <v>0.5</v>
      </c>
      <c r="G19" s="28">
        <v>112</v>
      </c>
      <c r="H19" s="23">
        <v>30</v>
      </c>
    </row>
    <row r="20" spans="1:8" x14ac:dyDescent="0.25">
      <c r="A20" s="2" t="s">
        <v>173</v>
      </c>
      <c r="B20" s="18" t="s">
        <v>71</v>
      </c>
      <c r="C20" s="15">
        <v>1.54</v>
      </c>
      <c r="D20" s="15">
        <v>0.5</v>
      </c>
      <c r="E20" s="15">
        <v>0.80000000000000016</v>
      </c>
      <c r="F20" s="15">
        <v>0.5</v>
      </c>
      <c r="G20" s="28">
        <v>112</v>
      </c>
      <c r="H20" s="23">
        <v>30</v>
      </c>
    </row>
    <row r="21" spans="1:8" x14ac:dyDescent="0.25">
      <c r="A21" s="2" t="s">
        <v>174</v>
      </c>
      <c r="B21" s="18" t="s">
        <v>72</v>
      </c>
      <c r="C21" s="15">
        <v>0.87</v>
      </c>
      <c r="D21" s="15">
        <v>0.5</v>
      </c>
      <c r="E21" s="15">
        <v>0.80000000000000016</v>
      </c>
      <c r="F21" s="15">
        <v>0.5</v>
      </c>
      <c r="G21" s="28">
        <v>112</v>
      </c>
      <c r="H21" s="23">
        <v>30</v>
      </c>
    </row>
    <row r="22" spans="1:8" x14ac:dyDescent="0.25">
      <c r="A22" s="2" t="s">
        <v>175</v>
      </c>
      <c r="B22" s="18" t="s">
        <v>73</v>
      </c>
      <c r="C22" s="29">
        <v>0.6</v>
      </c>
      <c r="D22" s="15">
        <v>0.5</v>
      </c>
      <c r="E22" s="15">
        <v>0.80000000000000016</v>
      </c>
      <c r="F22" s="15">
        <v>0.5</v>
      </c>
      <c r="G22" s="28">
        <v>112</v>
      </c>
      <c r="H22" s="23">
        <v>30</v>
      </c>
    </row>
    <row r="23" spans="1:8" x14ac:dyDescent="0.25">
      <c r="A23" s="2" t="s">
        <v>190</v>
      </c>
      <c r="B23" s="18" t="s">
        <v>193</v>
      </c>
      <c r="C23" s="15">
        <v>1.54</v>
      </c>
      <c r="D23" s="15">
        <v>0.5</v>
      </c>
      <c r="E23" s="15">
        <v>0.80000000000000016</v>
      </c>
      <c r="F23" s="15">
        <v>0.5</v>
      </c>
      <c r="G23" s="28">
        <v>112</v>
      </c>
      <c r="H23" s="23">
        <v>30</v>
      </c>
    </row>
    <row r="24" spans="1:8" x14ac:dyDescent="0.25">
      <c r="A24" s="2" t="s">
        <v>191</v>
      </c>
      <c r="B24" s="18" t="s">
        <v>194</v>
      </c>
      <c r="C24" s="15">
        <v>0.87</v>
      </c>
      <c r="D24" s="15">
        <v>0.5</v>
      </c>
      <c r="E24" s="15">
        <v>0.80000000000000016</v>
      </c>
      <c r="F24" s="15">
        <v>0.5</v>
      </c>
      <c r="G24" s="28">
        <v>112</v>
      </c>
      <c r="H24" s="23">
        <v>30</v>
      </c>
    </row>
    <row r="25" spans="1:8" x14ac:dyDescent="0.25">
      <c r="A25" s="2" t="s">
        <v>192</v>
      </c>
      <c r="B25" s="18" t="s">
        <v>195</v>
      </c>
      <c r="C25" s="29">
        <v>0.6</v>
      </c>
      <c r="D25" s="15">
        <v>0.5</v>
      </c>
      <c r="E25" s="15">
        <v>0.80000000000000016</v>
      </c>
      <c r="F25" s="15">
        <v>0.5</v>
      </c>
      <c r="G25" s="28">
        <v>112</v>
      </c>
      <c r="H25" s="23">
        <v>30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selection activeCell="B26" sqref="B26"/>
    </sheetView>
  </sheetViews>
  <sheetFormatPr defaultColWidth="9.140625" defaultRowHeight="15" x14ac:dyDescent="0.25"/>
  <cols>
    <col min="1" max="1" width="92.7109375" bestFit="1" customWidth="1"/>
    <col min="2" max="2" width="23.140625" bestFit="1" customWidth="1"/>
    <col min="3" max="3" width="10.42578125" customWidth="1"/>
    <col min="4" max="4" width="21.42578125" bestFit="1" customWidth="1"/>
    <col min="5" max="5" width="17.140625" bestFit="1" customWidth="1"/>
    <col min="8" max="8" width="8" bestFit="1"/>
  </cols>
  <sheetData>
    <row r="1" spans="1:5" x14ac:dyDescent="0.25">
      <c r="A1" s="1" t="s">
        <v>0</v>
      </c>
      <c r="B1" s="1" t="s">
        <v>1</v>
      </c>
      <c r="C1" s="1" t="s">
        <v>74</v>
      </c>
      <c r="D1" s="4" t="s">
        <v>137</v>
      </c>
      <c r="E1" s="4" t="s">
        <v>161</v>
      </c>
    </row>
    <row r="2" spans="1:5" x14ac:dyDescent="0.25">
      <c r="A2" s="2" t="s">
        <v>166</v>
      </c>
      <c r="B2" s="11" t="s">
        <v>131</v>
      </c>
      <c r="C2" s="29">
        <v>1.67</v>
      </c>
      <c r="D2" s="24">
        <v>113</v>
      </c>
      <c r="E2" s="25">
        <v>30</v>
      </c>
    </row>
    <row r="3" spans="1:5" x14ac:dyDescent="0.25">
      <c r="A3" s="2" t="s">
        <v>180</v>
      </c>
      <c r="B3" s="11" t="s">
        <v>132</v>
      </c>
      <c r="C3" s="29">
        <v>1.54</v>
      </c>
      <c r="D3" s="24">
        <v>113</v>
      </c>
      <c r="E3" s="25">
        <v>30</v>
      </c>
    </row>
    <row r="4" spans="1:5" x14ac:dyDescent="0.25">
      <c r="A4" s="2" t="s">
        <v>181</v>
      </c>
      <c r="B4" s="11" t="s">
        <v>133</v>
      </c>
      <c r="C4" s="29">
        <v>0.87</v>
      </c>
      <c r="D4" s="20">
        <v>180</v>
      </c>
      <c r="E4" s="25">
        <v>30</v>
      </c>
    </row>
    <row r="5" spans="1:5" x14ac:dyDescent="0.25">
      <c r="A5" s="2" t="s">
        <v>183</v>
      </c>
      <c r="B5" s="11" t="s">
        <v>134</v>
      </c>
      <c r="C5" s="29">
        <v>0.6</v>
      </c>
      <c r="D5" s="20">
        <v>180</v>
      </c>
      <c r="E5" s="25">
        <v>30</v>
      </c>
    </row>
    <row r="6" spans="1:5" x14ac:dyDescent="0.25">
      <c r="A6" s="2" t="s">
        <v>167</v>
      </c>
      <c r="B6" s="12" t="s">
        <v>75</v>
      </c>
      <c r="C6" s="29">
        <v>1.67</v>
      </c>
      <c r="D6" s="24">
        <v>113</v>
      </c>
      <c r="E6" s="25">
        <v>30</v>
      </c>
    </row>
    <row r="7" spans="1:5" x14ac:dyDescent="0.25">
      <c r="A7" s="2" t="s">
        <v>179</v>
      </c>
      <c r="B7" s="12" t="s">
        <v>76</v>
      </c>
      <c r="C7" s="29">
        <v>1.54</v>
      </c>
      <c r="D7" s="24">
        <v>113</v>
      </c>
      <c r="E7" s="25">
        <v>30</v>
      </c>
    </row>
    <row r="8" spans="1:5" x14ac:dyDescent="0.25">
      <c r="A8" s="2" t="s">
        <v>182</v>
      </c>
      <c r="B8" s="12" t="s">
        <v>77</v>
      </c>
      <c r="C8" s="29">
        <v>0.87</v>
      </c>
      <c r="D8" s="20">
        <v>180</v>
      </c>
      <c r="E8" s="25">
        <v>30</v>
      </c>
    </row>
    <row r="9" spans="1:5" x14ac:dyDescent="0.25">
      <c r="A9" s="2" t="s">
        <v>168</v>
      </c>
      <c r="B9" s="12" t="s">
        <v>78</v>
      </c>
      <c r="C9" s="29">
        <v>0.6</v>
      </c>
      <c r="D9" s="20">
        <v>180</v>
      </c>
      <c r="E9" s="25">
        <v>30</v>
      </c>
    </row>
    <row r="10" spans="1:5" x14ac:dyDescent="0.25">
      <c r="A10" s="2" t="s">
        <v>169</v>
      </c>
      <c r="B10" s="14" t="s">
        <v>79</v>
      </c>
      <c r="C10" s="15">
        <v>1.67</v>
      </c>
      <c r="D10" s="20">
        <v>180</v>
      </c>
      <c r="E10" s="25">
        <v>30</v>
      </c>
    </row>
    <row r="11" spans="1:5" x14ac:dyDescent="0.25">
      <c r="A11" s="2" t="s">
        <v>170</v>
      </c>
      <c r="B11" s="14" t="s">
        <v>80</v>
      </c>
      <c r="C11" s="15">
        <v>0.87</v>
      </c>
      <c r="D11" s="20">
        <v>180</v>
      </c>
      <c r="E11" s="25">
        <v>30</v>
      </c>
    </row>
    <row r="12" spans="1:5" x14ac:dyDescent="0.25">
      <c r="A12" s="2" t="s">
        <v>171</v>
      </c>
      <c r="B12" s="14" t="s">
        <v>81</v>
      </c>
      <c r="C12" s="29">
        <v>0.6</v>
      </c>
      <c r="D12" s="20">
        <v>180</v>
      </c>
      <c r="E12" s="25">
        <v>30</v>
      </c>
    </row>
    <row r="13" spans="1:5" x14ac:dyDescent="0.25">
      <c r="A13" s="2" t="s">
        <v>184</v>
      </c>
      <c r="B13" s="13" t="s">
        <v>82</v>
      </c>
      <c r="C13" s="15">
        <v>0.87</v>
      </c>
      <c r="D13" s="20">
        <v>180</v>
      </c>
      <c r="E13" s="25">
        <v>30</v>
      </c>
    </row>
    <row r="14" spans="1:5" x14ac:dyDescent="0.25">
      <c r="A14" s="2" t="s">
        <v>185</v>
      </c>
      <c r="B14" s="13" t="s">
        <v>83</v>
      </c>
      <c r="C14" s="29">
        <v>0.6</v>
      </c>
      <c r="D14" s="20">
        <v>180</v>
      </c>
      <c r="E14" s="25">
        <v>30</v>
      </c>
    </row>
    <row r="15" spans="1:5" x14ac:dyDescent="0.25">
      <c r="A15" s="2" t="s">
        <v>186</v>
      </c>
      <c r="B15" s="13" t="s">
        <v>84</v>
      </c>
      <c r="C15" s="31">
        <v>0.46</v>
      </c>
      <c r="D15" s="20">
        <v>180</v>
      </c>
      <c r="E15" s="25">
        <v>30</v>
      </c>
    </row>
    <row r="16" spans="1:5" x14ac:dyDescent="0.25">
      <c r="A16" s="2" t="s">
        <v>178</v>
      </c>
      <c r="B16" s="17" t="s">
        <v>85</v>
      </c>
      <c r="C16" s="15">
        <v>0.87</v>
      </c>
      <c r="D16" s="20">
        <v>180</v>
      </c>
      <c r="E16" s="25">
        <v>30</v>
      </c>
    </row>
    <row r="17" spans="1:5" x14ac:dyDescent="0.25">
      <c r="A17" s="2" t="s">
        <v>177</v>
      </c>
      <c r="B17" s="17" t="s">
        <v>86</v>
      </c>
      <c r="C17" s="29">
        <v>0.6</v>
      </c>
      <c r="D17" s="20">
        <v>180</v>
      </c>
      <c r="E17" s="25">
        <v>30</v>
      </c>
    </row>
    <row r="18" spans="1:5" x14ac:dyDescent="0.25">
      <c r="A18" s="2" t="s">
        <v>176</v>
      </c>
      <c r="B18" s="17" t="s">
        <v>87</v>
      </c>
      <c r="C18" s="31">
        <v>0.46</v>
      </c>
      <c r="D18" s="20">
        <v>180</v>
      </c>
      <c r="E18" s="25">
        <v>30</v>
      </c>
    </row>
    <row r="19" spans="1:5" x14ac:dyDescent="0.25">
      <c r="A19" s="2" t="s">
        <v>172</v>
      </c>
      <c r="B19" s="16" t="s">
        <v>88</v>
      </c>
      <c r="C19" s="15">
        <v>0.46</v>
      </c>
      <c r="D19" s="20">
        <v>180</v>
      </c>
      <c r="E19" s="25">
        <v>30</v>
      </c>
    </row>
    <row r="20" spans="1:5" x14ac:dyDescent="0.25">
      <c r="A20" s="2" t="s">
        <v>173</v>
      </c>
      <c r="B20" s="18" t="s">
        <v>89</v>
      </c>
      <c r="C20" s="15">
        <v>1.54</v>
      </c>
      <c r="D20" s="20">
        <v>180</v>
      </c>
      <c r="E20" s="25">
        <v>30</v>
      </c>
    </row>
    <row r="21" spans="1:5" x14ac:dyDescent="0.25">
      <c r="A21" s="2" t="s">
        <v>174</v>
      </c>
      <c r="B21" s="18" t="s">
        <v>90</v>
      </c>
      <c r="C21" s="15">
        <v>0.87</v>
      </c>
      <c r="D21" s="20">
        <v>180</v>
      </c>
      <c r="E21" s="25">
        <v>30</v>
      </c>
    </row>
    <row r="22" spans="1:5" x14ac:dyDescent="0.25">
      <c r="A22" s="2" t="s">
        <v>175</v>
      </c>
      <c r="B22" s="18" t="s">
        <v>91</v>
      </c>
      <c r="C22" s="29">
        <v>0.6</v>
      </c>
      <c r="D22" s="20">
        <v>180</v>
      </c>
      <c r="E22" s="25">
        <v>30</v>
      </c>
    </row>
    <row r="23" spans="1:5" x14ac:dyDescent="0.25">
      <c r="A23" s="2" t="s">
        <v>190</v>
      </c>
      <c r="B23" s="18" t="s">
        <v>196</v>
      </c>
      <c r="C23" s="15">
        <v>1.54</v>
      </c>
      <c r="D23" s="20">
        <v>180</v>
      </c>
      <c r="E23" s="25">
        <v>30</v>
      </c>
    </row>
    <row r="24" spans="1:5" x14ac:dyDescent="0.25">
      <c r="A24" s="2" t="s">
        <v>191</v>
      </c>
      <c r="B24" s="18" t="s">
        <v>197</v>
      </c>
      <c r="C24" s="15">
        <v>0.87</v>
      </c>
      <c r="D24" s="20">
        <v>180</v>
      </c>
      <c r="E24" s="25">
        <v>30</v>
      </c>
    </row>
    <row r="25" spans="1:5" x14ac:dyDescent="0.25">
      <c r="A25" s="2" t="s">
        <v>192</v>
      </c>
      <c r="B25" s="18" t="s">
        <v>198</v>
      </c>
      <c r="C25" s="29">
        <v>0.6</v>
      </c>
      <c r="D25" s="20">
        <v>180</v>
      </c>
      <c r="E25" s="25">
        <v>30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zoomScaleNormal="100" workbookViewId="0">
      <selection activeCell="D28" sqref="D28"/>
    </sheetView>
  </sheetViews>
  <sheetFormatPr defaultColWidth="9.140625" defaultRowHeight="15" x14ac:dyDescent="0.25"/>
  <cols>
    <col min="1" max="1" width="92.7109375" bestFit="1" customWidth="1"/>
    <col min="2" max="2" width="26" bestFit="1" customWidth="1"/>
    <col min="3" max="4" width="6.85546875" bestFit="1" customWidth="1"/>
    <col min="5" max="5" width="6.7109375" bestFit="1" customWidth="1"/>
    <col min="6" max="6" width="4.140625" bestFit="1" customWidth="1"/>
    <col min="7" max="7" width="24.140625" bestFit="1" customWidth="1"/>
    <col min="8" max="8" width="16.42578125" bestFit="1" customWidth="1"/>
  </cols>
  <sheetData>
    <row r="1" spans="1:8" x14ac:dyDescent="0.25">
      <c r="A1" s="1" t="s">
        <v>0</v>
      </c>
      <c r="B1" s="1" t="s">
        <v>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159</v>
      </c>
      <c r="H1" s="1" t="s">
        <v>160</v>
      </c>
    </row>
    <row r="2" spans="1:8" x14ac:dyDescent="0.25">
      <c r="A2" s="2" t="s">
        <v>166</v>
      </c>
      <c r="B2" s="11" t="s">
        <v>138</v>
      </c>
      <c r="C2" s="29">
        <v>1.67</v>
      </c>
      <c r="D2" s="20">
        <v>0.75</v>
      </c>
      <c r="E2" s="19">
        <v>0.89</v>
      </c>
      <c r="F2" s="22">
        <v>0.3</v>
      </c>
      <c r="G2" s="19">
        <v>62</v>
      </c>
      <c r="H2" s="16">
        <v>30</v>
      </c>
    </row>
    <row r="3" spans="1:8" x14ac:dyDescent="0.25">
      <c r="A3" s="2" t="s">
        <v>180</v>
      </c>
      <c r="B3" s="11" t="s">
        <v>139</v>
      </c>
      <c r="C3" s="29">
        <v>1.54</v>
      </c>
      <c r="D3" s="20">
        <v>0.75</v>
      </c>
      <c r="E3" s="19">
        <v>0.89</v>
      </c>
      <c r="F3" s="22">
        <v>0.3</v>
      </c>
      <c r="G3" s="19">
        <v>62</v>
      </c>
      <c r="H3" s="16">
        <v>30</v>
      </c>
    </row>
    <row r="4" spans="1:8" x14ac:dyDescent="0.25">
      <c r="A4" s="2" t="s">
        <v>181</v>
      </c>
      <c r="B4" s="11" t="s">
        <v>140</v>
      </c>
      <c r="C4" s="29">
        <v>0.87</v>
      </c>
      <c r="D4" s="21">
        <v>0.67</v>
      </c>
      <c r="E4" s="21">
        <v>0.02</v>
      </c>
      <c r="F4" s="22">
        <v>0.3</v>
      </c>
      <c r="G4" s="21">
        <v>123</v>
      </c>
      <c r="H4" s="16">
        <v>30</v>
      </c>
    </row>
    <row r="5" spans="1:8" x14ac:dyDescent="0.25">
      <c r="A5" s="2" t="s">
        <v>183</v>
      </c>
      <c r="B5" s="11" t="s">
        <v>141</v>
      </c>
      <c r="C5" s="29">
        <v>0.6</v>
      </c>
      <c r="D5" s="21">
        <v>0.67</v>
      </c>
      <c r="E5" s="21">
        <v>0.02</v>
      </c>
      <c r="F5" s="22">
        <v>0.3</v>
      </c>
      <c r="G5" s="21">
        <v>123</v>
      </c>
      <c r="H5" s="16">
        <v>30</v>
      </c>
    </row>
    <row r="6" spans="1:8" x14ac:dyDescent="0.25">
      <c r="A6" s="2" t="s">
        <v>167</v>
      </c>
      <c r="B6" s="12" t="s">
        <v>142</v>
      </c>
      <c r="C6" s="29">
        <v>1.67</v>
      </c>
      <c r="D6" s="20">
        <v>0.75</v>
      </c>
      <c r="E6" s="19">
        <v>0.89</v>
      </c>
      <c r="F6" s="22">
        <v>0.3</v>
      </c>
      <c r="G6" s="19">
        <v>62</v>
      </c>
      <c r="H6" s="16">
        <v>30</v>
      </c>
    </row>
    <row r="7" spans="1:8" x14ac:dyDescent="0.25">
      <c r="A7" s="2" t="s">
        <v>179</v>
      </c>
      <c r="B7" s="12" t="s">
        <v>143</v>
      </c>
      <c r="C7" s="29">
        <v>1.54</v>
      </c>
      <c r="D7" s="20">
        <v>0.75</v>
      </c>
      <c r="E7" s="19">
        <v>0.89</v>
      </c>
      <c r="F7" s="22">
        <v>0.3</v>
      </c>
      <c r="G7" s="19">
        <v>62</v>
      </c>
      <c r="H7" s="16">
        <v>30</v>
      </c>
    </row>
    <row r="8" spans="1:8" x14ac:dyDescent="0.25">
      <c r="A8" s="2" t="s">
        <v>182</v>
      </c>
      <c r="B8" s="12" t="s">
        <v>144</v>
      </c>
      <c r="C8" s="29">
        <v>0.87</v>
      </c>
      <c r="D8" s="21">
        <v>0.67</v>
      </c>
      <c r="E8" s="21">
        <v>0.02</v>
      </c>
      <c r="F8" s="22">
        <v>0.3</v>
      </c>
      <c r="G8" s="21">
        <v>123</v>
      </c>
      <c r="H8" s="16">
        <v>30</v>
      </c>
    </row>
    <row r="9" spans="1:8" x14ac:dyDescent="0.25">
      <c r="A9" s="2" t="s">
        <v>168</v>
      </c>
      <c r="B9" s="12" t="s">
        <v>145</v>
      </c>
      <c r="C9" s="29">
        <v>0.6</v>
      </c>
      <c r="D9" s="21">
        <v>0.67</v>
      </c>
      <c r="E9" s="21">
        <v>0.02</v>
      </c>
      <c r="F9" s="22">
        <v>0.3</v>
      </c>
      <c r="G9" s="21">
        <v>123</v>
      </c>
      <c r="H9" s="16">
        <v>30</v>
      </c>
    </row>
    <row r="10" spans="1:8" x14ac:dyDescent="0.25">
      <c r="A10" s="2" t="s">
        <v>169</v>
      </c>
      <c r="B10" s="14" t="s">
        <v>146</v>
      </c>
      <c r="C10" s="15">
        <v>1.67</v>
      </c>
      <c r="D10" s="20">
        <v>0.75</v>
      </c>
      <c r="E10" s="19">
        <v>0.89</v>
      </c>
      <c r="F10" s="22">
        <v>0.3</v>
      </c>
      <c r="G10" s="19">
        <v>62</v>
      </c>
      <c r="H10" s="16">
        <v>30</v>
      </c>
    </row>
    <row r="11" spans="1:8" x14ac:dyDescent="0.25">
      <c r="A11" s="2" t="s">
        <v>170</v>
      </c>
      <c r="B11" s="14" t="s">
        <v>147</v>
      </c>
      <c r="C11" s="15">
        <v>0.87</v>
      </c>
      <c r="D11" s="20">
        <v>0.75</v>
      </c>
      <c r="E11" s="19">
        <v>0.89</v>
      </c>
      <c r="F11" s="22">
        <v>0.3</v>
      </c>
      <c r="G11" s="19">
        <v>62</v>
      </c>
      <c r="H11" s="16">
        <v>30</v>
      </c>
    </row>
    <row r="12" spans="1:8" x14ac:dyDescent="0.25">
      <c r="A12" s="2" t="s">
        <v>171</v>
      </c>
      <c r="B12" s="14" t="s">
        <v>148</v>
      </c>
      <c r="C12" s="29">
        <v>0.6</v>
      </c>
      <c r="D12" s="21">
        <v>0.67</v>
      </c>
      <c r="E12" s="21">
        <v>0.02</v>
      </c>
      <c r="F12" s="22">
        <v>0.3</v>
      </c>
      <c r="G12" s="21">
        <v>123</v>
      </c>
      <c r="H12" s="16">
        <v>30</v>
      </c>
    </row>
    <row r="13" spans="1:8" x14ac:dyDescent="0.25">
      <c r="A13" s="2" t="s">
        <v>184</v>
      </c>
      <c r="B13" s="13" t="s">
        <v>149</v>
      </c>
      <c r="C13" s="15">
        <v>0.87</v>
      </c>
      <c r="D13" s="20">
        <v>0.75</v>
      </c>
      <c r="E13" s="19">
        <v>0.89</v>
      </c>
      <c r="F13" s="22">
        <v>0.3</v>
      </c>
      <c r="G13" s="19">
        <v>62</v>
      </c>
      <c r="H13" s="16">
        <v>30</v>
      </c>
    </row>
    <row r="14" spans="1:8" x14ac:dyDescent="0.25">
      <c r="A14" s="2" t="s">
        <v>185</v>
      </c>
      <c r="B14" s="13" t="s">
        <v>150</v>
      </c>
      <c r="C14" s="29">
        <v>0.6</v>
      </c>
      <c r="D14" s="20">
        <v>0.75</v>
      </c>
      <c r="E14" s="19">
        <v>0.89</v>
      </c>
      <c r="F14" s="22">
        <v>0.3</v>
      </c>
      <c r="G14" s="19">
        <v>62</v>
      </c>
      <c r="H14" s="16">
        <v>30</v>
      </c>
    </row>
    <row r="15" spans="1:8" x14ac:dyDescent="0.25">
      <c r="A15" s="2" t="s">
        <v>186</v>
      </c>
      <c r="B15" s="13" t="s">
        <v>151</v>
      </c>
      <c r="C15" s="31">
        <v>0.46</v>
      </c>
      <c r="D15" s="21">
        <v>0.67</v>
      </c>
      <c r="E15" s="21">
        <v>0.02</v>
      </c>
      <c r="F15" s="22">
        <v>0.3</v>
      </c>
      <c r="G15" s="21">
        <v>123</v>
      </c>
      <c r="H15" s="16">
        <v>30</v>
      </c>
    </row>
    <row r="16" spans="1:8" x14ac:dyDescent="0.25">
      <c r="A16" s="2" t="s">
        <v>178</v>
      </c>
      <c r="B16" s="17" t="s">
        <v>152</v>
      </c>
      <c r="C16" s="15">
        <v>0.87</v>
      </c>
      <c r="D16" s="20">
        <v>0.75</v>
      </c>
      <c r="E16" s="19">
        <v>0.89</v>
      </c>
      <c r="F16" s="22">
        <v>0.3</v>
      </c>
      <c r="G16" s="19">
        <v>62</v>
      </c>
      <c r="H16" s="16">
        <v>30</v>
      </c>
    </row>
    <row r="17" spans="1:8" x14ac:dyDescent="0.25">
      <c r="A17" s="2" t="s">
        <v>177</v>
      </c>
      <c r="B17" s="17" t="s">
        <v>153</v>
      </c>
      <c r="C17" s="29">
        <v>0.6</v>
      </c>
      <c r="D17" s="20">
        <v>0.75</v>
      </c>
      <c r="E17" s="19">
        <v>0.89</v>
      </c>
      <c r="F17" s="22">
        <v>0.3</v>
      </c>
      <c r="G17" s="19">
        <v>62</v>
      </c>
      <c r="H17" s="16">
        <v>30</v>
      </c>
    </row>
    <row r="18" spans="1:8" x14ac:dyDescent="0.25">
      <c r="A18" s="2" t="s">
        <v>176</v>
      </c>
      <c r="B18" s="17" t="s">
        <v>154</v>
      </c>
      <c r="C18" s="31">
        <v>0.46</v>
      </c>
      <c r="D18" s="21">
        <v>0.67</v>
      </c>
      <c r="E18" s="21">
        <v>0.02</v>
      </c>
      <c r="F18" s="22">
        <v>0.3</v>
      </c>
      <c r="G18" s="21">
        <v>123</v>
      </c>
      <c r="H18" s="16">
        <v>30</v>
      </c>
    </row>
    <row r="19" spans="1:8" x14ac:dyDescent="0.25">
      <c r="A19" s="2" t="s">
        <v>172</v>
      </c>
      <c r="B19" s="16" t="s">
        <v>155</v>
      </c>
      <c r="C19" s="15">
        <v>0.46</v>
      </c>
      <c r="D19" s="21">
        <v>0.67</v>
      </c>
      <c r="E19" s="21">
        <v>0.02</v>
      </c>
      <c r="F19" s="22">
        <v>0.3</v>
      </c>
      <c r="G19" s="21">
        <v>123</v>
      </c>
      <c r="H19" s="16">
        <v>30</v>
      </c>
    </row>
    <row r="20" spans="1:8" x14ac:dyDescent="0.25">
      <c r="A20" s="2" t="s">
        <v>173</v>
      </c>
      <c r="B20" s="18" t="s">
        <v>156</v>
      </c>
      <c r="C20" s="15">
        <v>1.54</v>
      </c>
      <c r="D20" s="20">
        <v>0.75</v>
      </c>
      <c r="E20" s="19">
        <v>0.89</v>
      </c>
      <c r="F20" s="22">
        <v>0.3</v>
      </c>
      <c r="G20" s="19">
        <v>62</v>
      </c>
      <c r="H20" s="16">
        <v>30</v>
      </c>
    </row>
    <row r="21" spans="1:8" x14ac:dyDescent="0.25">
      <c r="A21" s="2" t="s">
        <v>174</v>
      </c>
      <c r="B21" s="18" t="s">
        <v>157</v>
      </c>
      <c r="C21" s="15">
        <v>0.87</v>
      </c>
      <c r="D21" s="20">
        <v>0.75</v>
      </c>
      <c r="E21" s="19">
        <v>0.89</v>
      </c>
      <c r="F21" s="22">
        <v>0.3</v>
      </c>
      <c r="G21" s="19">
        <v>62</v>
      </c>
      <c r="H21" s="16">
        <v>30</v>
      </c>
    </row>
    <row r="22" spans="1:8" x14ac:dyDescent="0.25">
      <c r="A22" s="2" t="s">
        <v>175</v>
      </c>
      <c r="B22" s="18" t="s">
        <v>158</v>
      </c>
      <c r="C22" s="29">
        <v>0.6</v>
      </c>
      <c r="D22" s="21">
        <v>0.67</v>
      </c>
      <c r="E22" s="21">
        <v>0.02</v>
      </c>
      <c r="F22" s="22">
        <v>0.3</v>
      </c>
      <c r="G22" s="21">
        <v>123</v>
      </c>
      <c r="H22" s="16">
        <v>30</v>
      </c>
    </row>
    <row r="23" spans="1:8" x14ac:dyDescent="0.25">
      <c r="A23" s="2" t="s">
        <v>190</v>
      </c>
      <c r="B23" s="18" t="s">
        <v>199</v>
      </c>
      <c r="C23" s="15">
        <v>1.54</v>
      </c>
      <c r="D23" s="20">
        <v>0.75</v>
      </c>
      <c r="E23" s="19">
        <v>0.89</v>
      </c>
      <c r="F23" s="22">
        <v>0.3</v>
      </c>
      <c r="G23" s="19">
        <v>62</v>
      </c>
      <c r="H23" s="16">
        <v>30</v>
      </c>
    </row>
    <row r="24" spans="1:8" x14ac:dyDescent="0.25">
      <c r="A24" s="2" t="s">
        <v>191</v>
      </c>
      <c r="B24" s="18" t="s">
        <v>200</v>
      </c>
      <c r="C24" s="15">
        <v>0.87</v>
      </c>
      <c r="D24" s="20">
        <v>0.75</v>
      </c>
      <c r="E24" s="19">
        <v>0.89</v>
      </c>
      <c r="F24" s="22">
        <v>0.3</v>
      </c>
      <c r="G24" s="19">
        <v>62</v>
      </c>
      <c r="H24" s="16">
        <v>30</v>
      </c>
    </row>
    <row r="25" spans="1:8" x14ac:dyDescent="0.25">
      <c r="A25" s="2" t="s">
        <v>192</v>
      </c>
      <c r="B25" s="18" t="s">
        <v>201</v>
      </c>
      <c r="C25" s="29">
        <v>0.6</v>
      </c>
      <c r="D25" s="21">
        <v>0.67</v>
      </c>
      <c r="E25" s="21">
        <v>0.02</v>
      </c>
      <c r="F25" s="22">
        <v>0.3</v>
      </c>
      <c r="G25" s="21">
        <v>123</v>
      </c>
      <c r="H25" s="16">
        <v>30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>
      <selection activeCell="B15" sqref="B15"/>
    </sheetView>
  </sheetViews>
  <sheetFormatPr defaultColWidth="9.140625" defaultRowHeight="15" x14ac:dyDescent="0.25"/>
  <cols>
    <col min="1" max="1" width="45.28515625" bestFit="1" customWidth="1"/>
    <col min="2" max="2" width="17.140625" bestFit="1" customWidth="1"/>
  </cols>
  <sheetData>
    <row r="1" spans="1:4" x14ac:dyDescent="0.25">
      <c r="A1" s="1" t="s">
        <v>0</v>
      </c>
      <c r="B1" s="1" t="s">
        <v>1</v>
      </c>
      <c r="C1" s="1" t="s">
        <v>96</v>
      </c>
      <c r="D1" s="8"/>
    </row>
    <row r="2" spans="1:4" x14ac:dyDescent="0.25">
      <c r="A2" s="2" t="s">
        <v>97</v>
      </c>
      <c r="B2" s="3" t="s">
        <v>98</v>
      </c>
      <c r="C2" s="3">
        <v>1</v>
      </c>
      <c r="D2" s="8"/>
    </row>
    <row r="3" spans="1:4" x14ac:dyDescent="0.25">
      <c r="A3" s="2" t="s">
        <v>99</v>
      </c>
      <c r="B3" s="3" t="s">
        <v>100</v>
      </c>
      <c r="C3" s="3">
        <v>0.08</v>
      </c>
      <c r="D3" s="9"/>
    </row>
    <row r="4" spans="1:4" x14ac:dyDescent="0.25">
      <c r="A4" s="2" t="s">
        <v>101</v>
      </c>
      <c r="B4" s="3" t="s">
        <v>102</v>
      </c>
      <c r="C4" s="3">
        <v>0.15</v>
      </c>
      <c r="D4" s="9"/>
    </row>
    <row r="5" spans="1:4" x14ac:dyDescent="0.25">
      <c r="A5" s="5" t="s">
        <v>103</v>
      </c>
      <c r="B5" s="6" t="s">
        <v>104</v>
      </c>
      <c r="C5" s="6">
        <v>0.6</v>
      </c>
    </row>
    <row r="6" spans="1:4" x14ac:dyDescent="0.25">
      <c r="A6" s="10" t="s">
        <v>105</v>
      </c>
      <c r="B6" s="6" t="s">
        <v>106</v>
      </c>
      <c r="C6" s="7">
        <v>0.1</v>
      </c>
    </row>
    <row r="7" spans="1:4" x14ac:dyDescent="0.25">
      <c r="A7" s="10" t="s">
        <v>107</v>
      </c>
      <c r="B7" s="6" t="s">
        <v>108</v>
      </c>
      <c r="C7" s="7">
        <v>0.3</v>
      </c>
    </row>
    <row r="8" spans="1:4" x14ac:dyDescent="0.25">
      <c r="A8" s="10" t="s">
        <v>109</v>
      </c>
      <c r="B8" s="6" t="s">
        <v>110</v>
      </c>
      <c r="C8" s="7">
        <v>0.25</v>
      </c>
    </row>
    <row r="9" spans="1:4" x14ac:dyDescent="0.25">
      <c r="A9" s="10" t="s">
        <v>111</v>
      </c>
      <c r="B9" s="6" t="s">
        <v>112</v>
      </c>
      <c r="C9" s="7">
        <v>0.15</v>
      </c>
    </row>
    <row r="10" spans="1:4" x14ac:dyDescent="0.25">
      <c r="A10" s="10" t="s">
        <v>113</v>
      </c>
      <c r="B10" s="6" t="s">
        <v>114</v>
      </c>
      <c r="C10" s="7">
        <v>0.25</v>
      </c>
    </row>
    <row r="11" spans="1:4" x14ac:dyDescent="0.25">
      <c r="A11" s="10" t="s">
        <v>115</v>
      </c>
      <c r="B11" s="6" t="s">
        <v>116</v>
      </c>
      <c r="C11" s="7">
        <v>0.5</v>
      </c>
    </row>
    <row r="12" spans="1:4" x14ac:dyDescent="0.25">
      <c r="A12" s="10" t="s">
        <v>117</v>
      </c>
      <c r="B12" s="6" t="s">
        <v>118</v>
      </c>
      <c r="C12" s="7">
        <v>0.7</v>
      </c>
    </row>
    <row r="13" spans="1:4" x14ac:dyDescent="0.25">
      <c r="A13" s="10" t="s">
        <v>119</v>
      </c>
      <c r="B13" s="6" t="s">
        <v>120</v>
      </c>
      <c r="C13" s="7">
        <v>0.8</v>
      </c>
    </row>
    <row r="14" spans="1:4" x14ac:dyDescent="0.25">
      <c r="A14" s="10" t="s">
        <v>121</v>
      </c>
      <c r="B14" s="6" t="s">
        <v>122</v>
      </c>
      <c r="C14" s="7">
        <v>0.9</v>
      </c>
    </row>
    <row r="15" spans="1:4" x14ac:dyDescent="0.25">
      <c r="A15" s="5" t="s">
        <v>164</v>
      </c>
      <c r="B15" s="6" t="s">
        <v>165</v>
      </c>
      <c r="C15" s="6">
        <v>0.6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CONSTRUCTION</vt:lpstr>
      <vt:lpstr>TIGHTNESS</vt:lpstr>
      <vt:lpstr>ROOF</vt:lpstr>
      <vt:lpstr>WALL</vt:lpstr>
      <vt:lpstr>FLOOR</vt:lpstr>
      <vt:lpstr>WINDOW</vt:lpstr>
      <vt:lpstr>SHADING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Jimeno Fonseca</dc:creator>
  <cp:lastModifiedBy>Masayuki Kobayashi</cp:lastModifiedBy>
  <cp:revision>10</cp:revision>
  <dcterms:created xsi:type="dcterms:W3CDTF">2014-03-24T07:52:52Z</dcterms:created>
  <dcterms:modified xsi:type="dcterms:W3CDTF">2026-05-11T17:13:36Z</dcterms:modified>
</cp:coreProperties>
</file>